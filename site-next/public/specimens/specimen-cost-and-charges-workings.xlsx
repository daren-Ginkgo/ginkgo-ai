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and 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pivotButton="0" quotePrefix="0" xfId="0"/>
    <xf numFmtId="10" fontId="2" fillId="0" borderId="0" pivotButton="0" quotePrefix="0" xfId="0"/>
    <xf numFmtId="0" fontId="3" fillId="3" borderId="0" applyAlignment="1" pivotButton="0" quotePrefix="0" xfId="0">
      <alignment vertical="top" wrapText="1"/>
    </xf>
    <xf numFmtId="164" fontId="3" fillId="3" borderId="0" pivotButton="0" quotePrefix="0" xfId="0"/>
    <xf numFmtId="10" fontId="3" fillId="3" borderId="0" pivotButton="0" quotePrefix="0" xfId="0"/>
    <xf numFmtId="0" fontId="3" fillId="3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0"/>
  <sheetViews>
    <sheetView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7" customWidth="1" min="3" max="3"/>
    <col width="34" customWidth="1" min="4" max="4"/>
    <col width="19" customWidth="1" min="5" max="5"/>
    <col width="19" customWidth="1" min="6" max="6"/>
    <col width="58" customWidth="1" min="7" max="7"/>
  </cols>
  <sheetData>
    <row r="1">
      <c r="B1" s="1" t="inlineStr">
        <is>
          <t>First year costs and charges - transfer or single premium</t>
        </is>
      </c>
    </row>
    <row r="2">
      <c r="B2" s="2" t="inlineStr">
        <is>
          <t>Replicates Quilter RAP-1080 (RAP/1080/0124 v1.1) - Cost and charges calculator, transfers and single premium, percentage</t>
        </is>
      </c>
    </row>
    <row r="3">
      <c r="B3" s="2" t="inlineStr">
        <is>
          <t>Ginkgo Financial Ltd  |  Produced by The Advice Engine  |  08 Sep 2026, 16:39 London  |  engine v105</t>
        </is>
      </c>
    </row>
    <row r="5">
      <c r="B5" s="3" t="inlineStr">
        <is>
          <t>INPUTS</t>
        </is>
      </c>
      <c r="C5" s="3" t="inlineStr">
        <is>
          <t>Value</t>
        </is>
      </c>
      <c r="D5" s="3" t="inlineStr">
        <is>
          <t>How it is calculated</t>
        </is>
      </c>
      <c r="E5" s="3" t="n"/>
      <c r="F5" s="3" t="n"/>
      <c r="G5" s="3" t="inlineStr">
        <is>
          <t>Source of the figure</t>
        </is>
      </c>
    </row>
    <row r="6">
      <c r="B6" s="4" t="inlineStr">
        <is>
          <t>Amount invested (transfer value or single premium)</t>
        </is>
      </c>
      <c r="C6" s="5" t="n">
        <v>100000</v>
      </c>
      <c r="D6" s="2" t="inlineStr">
        <is>
          <t>entered above</t>
        </is>
      </c>
      <c r="G6" s="4" t="inlineStr">
        <is>
          <t>Entered by the adviser</t>
        </is>
      </c>
    </row>
    <row r="7">
      <c r="B7" s="4" t="inlineStr">
        <is>
          <t>Projected growth rate</t>
        </is>
      </c>
      <c r="C7" s="6" t="n">
        <v>0.05</v>
      </c>
      <c r="D7" s="2" t="inlineStr">
        <is>
          <t>entered above</t>
        </is>
      </c>
      <c r="G7" s="4" t="inlineStr">
        <is>
          <t>Entered by the adviser</t>
        </is>
      </c>
    </row>
    <row r="8">
      <c r="B8" s="4" t="inlineStr">
        <is>
          <t>Investment services costs</t>
        </is>
      </c>
      <c r="C8" s="6" t="n">
        <v>0.005</v>
      </c>
      <c r="D8" s="2" t="inlineStr">
        <is>
          <t>entered above</t>
        </is>
      </c>
      <c r="G8" s="4" t="inlineStr">
        <is>
          <t>Entered by the adviser</t>
        </is>
      </c>
    </row>
    <row r="9">
      <c r="B9" s="4" t="inlineStr">
        <is>
          <t>Investment product costs</t>
        </is>
      </c>
      <c r="C9" s="6" t="n">
        <v>0.0119</v>
      </c>
      <c r="D9" s="2" t="inlineStr">
        <is>
          <t>entered above</t>
        </is>
      </c>
      <c r="G9" s="4" t="inlineStr">
        <is>
          <t>Entered by the adviser</t>
        </is>
      </c>
    </row>
    <row r="10">
      <c r="B10" s="4" t="inlineStr">
        <is>
          <t>Adviser costs, initial</t>
        </is>
      </c>
      <c r="C10" s="6" t="n">
        <v>0.03</v>
      </c>
      <c r="D10" s="2" t="inlineStr">
        <is>
          <t>entered above</t>
        </is>
      </c>
      <c r="G10" s="4" t="inlineStr">
        <is>
          <t>Entered by the adviser</t>
        </is>
      </c>
    </row>
    <row r="11">
      <c r="B11" s="4" t="inlineStr">
        <is>
          <t>Adviser servicing costs, ongoing</t>
        </is>
      </c>
      <c r="C11" s="6" t="n">
        <v>0.0025</v>
      </c>
      <c r="D11" s="2" t="inlineStr">
        <is>
          <t>entered above</t>
        </is>
      </c>
      <c r="G11" s="4" t="inlineStr">
        <is>
          <t>Entered by the adviser</t>
        </is>
      </c>
    </row>
    <row r="13">
      <c r="B13" s="3" t="inlineStr">
        <is>
          <t>AGGREGATED COSTS AND CHARGES</t>
        </is>
      </c>
      <c r="C13" s="3" t="inlineStr">
        <is>
          <t>Amount</t>
        </is>
      </c>
      <c r="D13" s="3" t="inlineStr">
        <is>
          <t>% of the amount invested</t>
        </is>
      </c>
      <c r="E13" s="3" t="n"/>
      <c r="F13" s="3" t="n"/>
      <c r="G13" s="3" t="n"/>
    </row>
    <row r="14">
      <c r="B14" s="4" t="inlineStr">
        <is>
          <t>Investment services costs</t>
        </is>
      </c>
      <c r="C14" s="5">
        <f>C6*C8</f>
        <v/>
      </c>
      <c r="D14" s="6">
        <f>C14/C6</f>
        <v/>
      </c>
      <c r="G14" s="4" t="inlineStr">
        <is>
          <t>Quilter RAP-1080 formula</t>
        </is>
      </c>
    </row>
    <row r="15">
      <c r="B15" s="4" t="inlineStr">
        <is>
          <t>Investment product costs</t>
        </is>
      </c>
      <c r="C15" s="5">
        <f>C6*C9</f>
        <v/>
      </c>
      <c r="D15" s="6">
        <f>C15/C6</f>
        <v/>
      </c>
      <c r="G15" s="4" t="inlineStr">
        <is>
          <t>Quilter RAP-1080 formula</t>
        </is>
      </c>
    </row>
    <row r="16">
      <c r="B16" s="4" t="inlineStr">
        <is>
          <t>Adviser costs, initial</t>
        </is>
      </c>
      <c r="C16" s="5">
        <f>C6*C10</f>
        <v/>
      </c>
      <c r="D16" s="6">
        <f>C16/C6</f>
        <v/>
      </c>
      <c r="G16" s="4" t="inlineStr">
        <is>
          <t>Quilter RAP-1080 formula</t>
        </is>
      </c>
    </row>
    <row r="17">
      <c r="B17" s="4" t="inlineStr">
        <is>
          <t>Adviser servicing costs, ongoing</t>
        </is>
      </c>
      <c r="C17" s="5">
        <f>C21*C11</f>
        <v/>
      </c>
      <c r="D17" s="6">
        <f>C17/C6</f>
        <v/>
      </c>
      <c r="G17" s="4" t="inlineStr">
        <is>
          <t>Quilter RAP-1080: servicing is charged on the NET contribution after the initial charges</t>
        </is>
      </c>
    </row>
    <row r="18">
      <c r="B18" s="7" t="inlineStr">
        <is>
          <t>TOTAL first year costs and charges</t>
        </is>
      </c>
      <c r="C18" s="8">
        <f>SUM(C14:C17)</f>
        <v/>
      </c>
      <c r="D18" s="9">
        <f>SUM(D14:D17)</f>
        <v/>
      </c>
      <c r="G18" s="7" t="inlineStr">
        <is>
          <t>The figure the report must disclose in both pounds and percent</t>
        </is>
      </c>
    </row>
    <row r="20">
      <c r="B20" s="3" t="inlineStr">
        <is>
          <t>WORKINGS</t>
        </is>
      </c>
      <c r="C20" s="3" t="n"/>
      <c r="D20" s="3" t="n"/>
      <c r="E20" s="3" t="n"/>
      <c r="F20" s="3" t="n"/>
      <c r="G20" s="3" t="n"/>
    </row>
    <row r="21">
      <c r="B21" s="4" t="inlineStr">
        <is>
          <t>Net contribution after the initial charges</t>
        </is>
      </c>
      <c r="C21" s="5">
        <f>C6-SUM(C14:C16)</f>
        <v/>
      </c>
      <c r="D21" s="2" t="inlineStr">
        <is>
          <t>C6 - SUM(C14:C16)</t>
        </is>
      </c>
      <c r="G21" s="4" t="inlineStr">
        <is>
          <t>Growth runs on this, not on the gross amount</t>
        </is>
      </c>
    </row>
    <row r="22">
      <c r="B22" s="4" t="inlineStr">
        <is>
          <t>Growth on the net contribution</t>
        </is>
      </c>
      <c r="C22" s="5">
        <f>C21*C7</f>
        <v/>
      </c>
      <c r="D22" s="2" t="inlineStr">
        <is>
          <t>C21 * C7</t>
        </is>
      </c>
      <c r="G22" s="4" t="inlineStr">
        <is>
          <t>Quilter RAP-1080: one period, NOT compounded</t>
        </is>
      </c>
    </row>
    <row r="23">
      <c r="B23" s="4" t="inlineStr">
        <is>
          <t>Growth with no charges at all</t>
        </is>
      </c>
      <c r="C23" s="5">
        <f>C6*C7</f>
        <v/>
      </c>
      <c r="D23" s="2" t="inlineStr">
        <is>
          <t>C6 * C7</t>
        </is>
      </c>
      <c r="G23" s="4" t="inlineStr">
        <is>
          <t>The comparison figure: what the money would have done with no charges</t>
        </is>
      </c>
    </row>
    <row r="25">
      <c r="B25" s="3" t="inlineStr">
        <is>
          <t>FIRST 12 MONTHS</t>
        </is>
      </c>
      <c r="C25" s="3" t="inlineStr">
        <is>
          <t>Value</t>
        </is>
      </c>
      <c r="D25" s="3" t="inlineStr">
        <is>
          <t>How it is calculated</t>
        </is>
      </c>
      <c r="E25" s="3" t="n"/>
      <c r="F25" s="3" t="n"/>
      <c r="G25" s="3" t="inlineStr">
        <is>
          <t>Source of the figure</t>
        </is>
      </c>
    </row>
    <row r="26">
      <c r="B26" s="4" t="inlineStr">
        <is>
          <t>Initial contribution</t>
        </is>
      </c>
      <c r="C26" s="5">
        <f>C6</f>
        <v/>
      </c>
      <c r="D26" s="2" t="inlineStr">
        <is>
          <t>C6</t>
        </is>
      </c>
      <c r="G26" s="4" t="inlineStr">
        <is>
          <t>Quilter RAP-1080 formula</t>
        </is>
      </c>
    </row>
    <row r="27">
      <c r="B27" s="4" t="inlineStr">
        <is>
          <t>Value at the end of the period, no charges</t>
        </is>
      </c>
      <c r="C27" s="5">
        <f>C6+C23</f>
        <v/>
      </c>
      <c r="D27" s="2" t="inlineStr">
        <is>
          <t>C6 + C23</t>
        </is>
      </c>
      <c r="G27" s="4" t="inlineStr">
        <is>
          <t>Quilter RAP-1080 formula</t>
        </is>
      </c>
    </row>
    <row r="28">
      <c r="B28" s="4" t="inlineStr">
        <is>
          <t>Return, no charges</t>
        </is>
      </c>
      <c r="C28" s="5">
        <f>C23</f>
        <v/>
      </c>
      <c r="D28" s="2" t="inlineStr">
        <is>
          <t>C23</t>
        </is>
      </c>
      <c r="G28" s="4" t="inlineStr">
        <is>
          <t>Quilter RAP-1080 formula</t>
        </is>
      </c>
    </row>
    <row r="29">
      <c r="B29" s="4" t="inlineStr">
        <is>
          <t>Projected NET value at the end of the period</t>
        </is>
      </c>
      <c r="C29" s="5">
        <f>C21-C17+C22</f>
        <v/>
      </c>
      <c r="D29" s="2" t="inlineStr">
        <is>
          <t>C21 - C17 + C22</t>
        </is>
      </c>
      <c r="G29" s="4" t="inlineStr">
        <is>
          <t>Quilter RAP-1080 formula</t>
        </is>
      </c>
    </row>
    <row r="30">
      <c r="B30" s="7" t="inlineStr">
        <is>
          <t>EFFECT OF THE CHARGES IN THE FIRST 12 MONTHS</t>
        </is>
      </c>
      <c r="C30" s="8">
        <f>C29-C26</f>
        <v/>
      </c>
      <c r="D30" s="10" t="inlineStr">
        <is>
          <t>C29 - C26</t>
        </is>
      </c>
      <c r="G30" s="11" t="inlineStr">
        <is>
          <t>Normally NEGATIVE in a first year: the charges are larger than one year's projected growth. This is the figure to explain to the client.</t>
        </is>
      </c>
    </row>
    <row r="31">
      <c r="B31" s="7" t="inlineStr">
        <is>
          <t>Projected growth rate after costs and charges</t>
        </is>
      </c>
      <c r="C31" s="9">
        <f>C30/C26</f>
        <v/>
      </c>
      <c r="D31" s="10" t="inlineStr">
        <is>
          <t>C30 / C26</t>
        </is>
      </c>
      <c r="G31" s="11" t="inlineStr">
        <is>
          <t>Against C7 before charges</t>
        </is>
      </c>
    </row>
    <row r="33">
      <c r="B33" s="3" t="inlineStr">
        <is>
          <t>ASSUMPTIONS AND GOVERNANCE</t>
        </is>
      </c>
      <c r="C33" s="3" t="n"/>
      <c r="D33" s="3" t="n"/>
      <c r="E33" s="3" t="n"/>
      <c r="F33" s="3" t="n"/>
      <c r="G33" s="3" t="n"/>
    </row>
    <row r="34">
      <c r="B34" s="2" t="inlineStr">
        <is>
          <t>1.</t>
        </is>
      </c>
      <c r="C34" s="4" t="inlineStr">
        <is>
          <t>Replicates Quilter RAP-1080 (RAP/1080/0124 v1.1). The cells above hold live formulas: change an input and the whole disclosure recalculates.</t>
        </is>
      </c>
    </row>
    <row r="35">
      <c r="B35" s="2" t="inlineStr">
        <is>
          <t>2.</t>
        </is>
      </c>
      <c r="C35" s="4" t="inlineStr">
        <is>
          <t>First 12 months only. Growth is applied to the amount left after the initial charges and is NOT compounded, exactly as the Quilter sheet does it.</t>
        </is>
      </c>
    </row>
    <row r="36">
      <c r="B36" s="2" t="inlineStr">
        <is>
          <t>3.</t>
        </is>
      </c>
      <c r="C36" s="4" t="inlineStr">
        <is>
          <t>Adviser servicing is charged on the NET contribution after the initial charges, which is what the Quilter percentage sheet does. The monetary sheet instead takes the servicing amount as entered.</t>
        </is>
      </c>
    </row>
    <row r="37">
      <c r="B37" s="2" t="inlineStr">
        <is>
          <t>4.</t>
        </is>
      </c>
      <c r="C37" s="4" t="inlineStr">
        <is>
          <t>Fees must include VAT where applicable (Quilter's own note on the sheet).</t>
        </is>
      </c>
    </row>
    <row r="38">
      <c r="B38" s="2" t="inlineStr">
        <is>
          <t>5.</t>
        </is>
      </c>
      <c r="C38" s="4" t="inlineStr">
        <is>
          <t>A real quote may use mixed growth rates. Where it does, use Quilter's weighted average calculator (RAP-0252) for the rate entered above.</t>
        </is>
      </c>
    </row>
    <row r="39">
      <c r="B39" s="2" t="inlineStr">
        <is>
          <t>6.</t>
        </is>
      </c>
      <c r="C39" s="4" t="inlineStr">
        <is>
          <t>Indicative and NOT advice. The provider's own illustration governs: where the illustration and this calculation differ, use the illustration and record the difference as an item to confirm.</t>
        </is>
      </c>
    </row>
    <row r="40">
      <c r="B40" s="2" t="inlineStr">
        <is>
          <t>7.</t>
        </is>
      </c>
      <c r="C40" s="4" t="inlineStr">
        <is>
          <t>Figures marked with a quotation in the Source column were read from the client's documents by The Advice Engine and confirmed by the adviser. The Advice Engine does not verify the documents themselves.</t>
        </is>
      </c>
    </row>
  </sheetData>
  <mergeCells count="7">
    <mergeCell ref="C35:G35"/>
    <mergeCell ref="C34:G34"/>
    <mergeCell ref="C38:G38"/>
    <mergeCell ref="C37:G37"/>
    <mergeCell ref="C36:G36"/>
    <mergeCell ref="C39:G39"/>
    <mergeCell ref="C40:G40"/>
  </mergeCells>
  <pageMargins left="0.75" right="0.75" top="1" bottom="1" header="0.5" footer="0.5"/>
  <headerFooter>
    <oddHeader/>
    <oddFooter>&amp;L&amp;7 &amp;K808080Generated 08 Sep 2026, 16:39 London  |  engine v105&amp;R&amp;7 &amp;K808080Page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2026-09-08T15:39:20Z</dcterms:created>
  <dcterms:modified xmlns:dcterms="http://purl.org/dc/terms/" xmlns:xsi="http://www.w3.org/2001/XMLSchema-instance" xsi:type="dcterms:W3CDTF">2026-09-08T15:39:20Z</dcterms:modified>
</cp:coreProperties>
</file>